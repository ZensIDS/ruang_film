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<sst xmlns="http://schemas.openxmlformats.org/spreadsheetml/2006/main" count="37" uniqueCount="37">
  <si>
    <t>No.</t>
  </si>
  <si>
    <t>Aspek Penilaian Utama</t>
  </si>
  <si>
    <t>Indikator yang Dinilai</t>
  </si>
  <si>
    <t>Boobot Nilai</t>
  </si>
  <si>
    <t>Skor (1-10)</t>
  </si>
  <si>
    <t>TOTAL NILAI</t>
  </si>
  <si>
    <t>NARASI &amp; SKENARIO</t>
  </si>
  <si>
    <t>(Total Bobot: 50%)</t>
  </si>
  <si>
    <t>Orisinalitas dan Tema</t>
  </si>
  <si>
    <t>Keunikan ide, dan kejelasan pesan yang disampaikan, serta kesesuaian dengan tema.</t>
  </si>
  <si>
    <t>Struktur Cerita</t>
  </si>
  <si>
    <t>Plot yang padat, efektif, dan memiliki perkembangan yang logis dan menarik dalam durasi pendek.</t>
  </si>
  <si>
    <t>Karakterisasi</t>
  </si>
  <si>
    <t>Kedalaman, konsistensi, dan perkembangan karakter, serta penggunaan dialog tepat guna</t>
  </si>
  <si>
    <t>Pesan Moral</t>
  </si>
  <si>
    <t>makna tersirat yang muncul di balik cerita film, bukan yang diucapkan langsung, tapi yang dirasakan dan dimaknai penonton.</t>
  </si>
  <si>
    <t>PENYUTRADARAAN</t>
  </si>
  <si>
    <t>(Total Bobot: 20%)</t>
  </si>
  <si>
    <t>Visi dan Interpretasi</t>
  </si>
  <si>
    <t>Konsistensi tone dan mood, dan keberhasilan sutradara mewujudkan visi cerita ke dalam gambar.</t>
  </si>
  <si>
    <t>Pengarahan Aktor</t>
  </si>
  <si>
    <t>Kualitas akting, penjiwaan emosi, dan blocking aktor yang natural dan dinamis.</t>
  </si>
  <si>
    <t>TEKNIK &amp; ESTETIKA</t>
  </si>
  <si>
    <t>(Total Bobot: 30%)</t>
  </si>
  <si>
    <t>Sinematografi</t>
  </si>
  <si>
    <t>Pengaturan framing yang sesuai dengan motivasi cerita yang dibangun dan kontinuitas visual yang menjaga alur cerita</t>
  </si>
  <si>
    <t>Artistik</t>
  </si>
  <si>
    <t>Penggunaan latar, properti, kostum, dan penataan artistik yang mendukung narasi secara keseluruhan.</t>
  </si>
  <si>
    <t>Pencahayaan</t>
  </si>
  <si>
    <t xml:space="preserve">Penggunaan teknik pencahayaan yang efektif untuk membangun suasana </t>
  </si>
  <si>
    <t>Editing Video</t>
  </si>
  <si>
    <t>Ritme pacing dan cutting yang halus, efektif, dan mendukung alur cerita serta kontinuitas visual.dan color grading yang konsisten.</t>
  </si>
  <si>
    <t>Tata Suara &amp; Musik</t>
  </si>
  <si>
    <t>Kualitas audio dialog yang jernih, sound design, dan kesesuaian ilustrasi musik</t>
  </si>
  <si>
    <t>kreativitas</t>
  </si>
  <si>
    <t>Pertimbangan terhadap keterbatasan sumber daya, kreativitas, dan keberanian bereksperimen dalam kondisi realistis.</t>
  </si>
  <si>
    <t>TOTAL NILAI AKHIR (100%)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</si>
</sst>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Roboto"/>
    </font>
    <font>
      <color rgb="FF434343"/>
      <name val="Roboto"/>
    </font>
    <font>
      <b/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0" fillId="2" fontId="1" numFmtId="0" xfId="0" applyAlignment="1" applyFont="1">
      <alignment readingOrder="0"/>
    </xf>
    <xf borderId="5" fillId="3" fontId="2" numFmtId="0" xfId="0" applyAlignment="1" applyBorder="1" applyFill="1" applyFont="1">
      <alignment horizontal="center"/>
    </xf>
    <xf borderId="6" fillId="3" fontId="3" numFmtId="0" xfId="0" applyBorder="1" applyFont="1"/>
    <xf borderId="7" fillId="3" fontId="3" numFmtId="0" xfId="0" applyBorder="1" applyFont="1"/>
    <xf borderId="8" fillId="3" fontId="4" numFmtId="0" xfId="0" applyBorder="1" applyFont="1"/>
    <xf borderId="9" fillId="4" fontId="4" numFmtId="0" xfId="0" applyBorder="1" applyFill="1" applyFont="1"/>
    <xf borderId="10" fillId="4" fontId="2" numFmtId="0" xfId="0" applyBorder="1" applyFont="1"/>
    <xf borderId="11" fillId="4" fontId="2" numFmtId="0" xfId="0" applyBorder="1" applyFont="1"/>
    <xf borderId="8" fillId="4" fontId="2" numFmtId="0" xfId="0" applyAlignment="1" applyBorder="1" applyFont="1">
      <alignment horizontal="center"/>
    </xf>
    <xf borderId="8" fillId="4" fontId="4" numFmtId="0" xfId="0" applyAlignment="1" applyBorder="1" applyFont="1">
      <alignment readingOrder="0"/>
    </xf>
    <xf borderId="8" fillId="4" fontId="4" numFmtId="0" xfId="0" applyAlignment="1" applyBorder="1" applyFont="1">
      <alignment readingOrder="0"/>
    </xf>
    <xf borderId="5" fillId="3" fontId="4" numFmtId="0" xfId="0" applyBorder="1" applyFont="1"/>
    <xf borderId="6" fillId="3" fontId="2" numFmtId="0" xfId="0" applyBorder="1" applyFont="1"/>
    <xf borderId="7" fillId="3" fontId="2" numFmtId="0" xfId="0" applyBorder="1" applyFont="1"/>
    <xf borderId="8" fillId="3" fontId="2" numFmtId="0" xfId="0" applyAlignment="1" applyBorder="1" applyFont="1">
      <alignment horizontal="center"/>
    </xf>
    <xf borderId="9" fillId="4" fontId="2" numFmtId="0" xfId="0" applyAlignment="1" applyBorder="1" applyFont="1">
      <alignment horizontal="center"/>
    </xf>
    <xf borderId="10" fillId="4" fontId="3" numFmtId="0" xfId="0" applyBorder="1" applyFont="1"/>
    <xf borderId="11" fillId="4" fontId="3" numFmtId="0" xfId="0" applyBorder="1" applyFont="1"/>
    <xf borderId="8" fillId="4" fontId="4" numFmtId="0" xfId="0" applyBorder="1" applyFont="1"/>
    <xf borderId="12" fillId="4" fontId="4" numFmtId="0" xfId="0" applyBorder="1" applyFont="1"/>
    <xf borderId="13" fillId="4" fontId="4" numFmtId="0" xfId="0" applyBorder="1" applyFont="1"/>
    <xf borderId="14" fillId="4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" displayName="Table_1" name="Table_1" id="1">
  <tableColumns count="6">
    <tableColumn name="No." id="1"/>
    <tableColumn name="Aspek Penilaian Utama" id="2"/>
    <tableColumn name="Indikator yang Dinilai" id="3"/>
    <tableColumn name="Boobot Nilai" id="4"/>
    <tableColumn name="Skor (1-10)" id="5"/>
    <tableColumn name="TOTAL NILAI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2.88"/>
    <col customWidth="1" min="3" max="3" width="64.88"/>
    <col customWidth="1" min="4" max="4" width="16.25"/>
    <col customWidth="1" min="5" max="5" width="11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>
      <c r="A2" s="6">
        <v>1.0</v>
      </c>
      <c r="B2" s="7" t="s">
        <v>6</v>
      </c>
      <c r="C2" s="8" t="s">
        <v>7</v>
      </c>
      <c r="D2" s="9"/>
      <c r="E2" s="9"/>
      <c r="F2" s="9"/>
    </row>
    <row r="3">
      <c r="A3" s="10"/>
      <c r="B3" s="11" t="s">
        <v>8</v>
      </c>
      <c r="C3" s="12" t="s">
        <v>9</v>
      </c>
      <c r="D3" s="13">
        <v>15.0</v>
      </c>
      <c r="E3" s="14">
        <v>10.0</v>
      </c>
      <c r="F3" s="15">
        <f t="shared" ref="F3:F6" si="1">D3*E3</f>
        <v>150</v>
      </c>
    </row>
    <row r="4">
      <c r="A4" s="16"/>
      <c r="B4" s="17" t="s">
        <v>10</v>
      </c>
      <c r="C4" s="18" t="s">
        <v>11</v>
      </c>
      <c r="D4" s="19">
        <v>10.0</v>
      </c>
      <c r="E4" s="14">
        <v>10.0</v>
      </c>
      <c r="F4" s="15">
        <f t="shared" si="1"/>
        <v>100</v>
      </c>
    </row>
    <row r="5">
      <c r="A5" s="10"/>
      <c r="B5" s="11" t="s">
        <v>12</v>
      </c>
      <c r="C5" s="12" t="s">
        <v>13</v>
      </c>
      <c r="D5" s="13">
        <v>10.0</v>
      </c>
      <c r="E5" s="14">
        <v>10.0</v>
      </c>
      <c r="F5" s="15">
        <f t="shared" si="1"/>
        <v>100</v>
      </c>
    </row>
    <row r="6">
      <c r="A6" s="16"/>
      <c r="B6" s="17" t="s">
        <v>14</v>
      </c>
      <c r="C6" s="18" t="s">
        <v>15</v>
      </c>
      <c r="D6" s="19">
        <v>15.0</v>
      </c>
      <c r="E6" s="14">
        <v>10.0</v>
      </c>
      <c r="F6" s="15">
        <f t="shared" si="1"/>
        <v>150</v>
      </c>
    </row>
    <row r="7">
      <c r="A7" s="20">
        <v>2.0</v>
      </c>
      <c r="B7" s="21" t="s">
        <v>16</v>
      </c>
      <c r="C7" s="22" t="s">
        <v>17</v>
      </c>
      <c r="D7" s="23"/>
      <c r="E7" s="23"/>
      <c r="F7" s="15"/>
    </row>
    <row r="8">
      <c r="A8" s="16"/>
      <c r="B8" s="17" t="s">
        <v>18</v>
      </c>
      <c r="C8" s="18" t="s">
        <v>19</v>
      </c>
      <c r="D8" s="19">
        <v>10.0</v>
      </c>
      <c r="E8" s="14">
        <v>10.0</v>
      </c>
      <c r="F8" s="15">
        <f t="shared" ref="F8:F9" si="2">D8*E8</f>
        <v>100</v>
      </c>
    </row>
    <row r="9">
      <c r="A9" s="10"/>
      <c r="B9" s="11" t="s">
        <v>20</v>
      </c>
      <c r="C9" s="12" t="s">
        <v>21</v>
      </c>
      <c r="D9" s="13">
        <v>10.0</v>
      </c>
      <c r="E9" s="14">
        <v>10.0</v>
      </c>
      <c r="F9" s="15">
        <f t="shared" si="2"/>
        <v>100</v>
      </c>
    </row>
    <row r="10">
      <c r="A10" s="6">
        <v>3.0</v>
      </c>
      <c r="B10" s="7" t="s">
        <v>22</v>
      </c>
      <c r="C10" s="8" t="s">
        <v>23</v>
      </c>
      <c r="D10" s="9"/>
      <c r="E10" s="9"/>
      <c r="F10" s="15"/>
    </row>
    <row r="11">
      <c r="A11" s="10"/>
      <c r="B11" s="11" t="s">
        <v>24</v>
      </c>
      <c r="C11" s="12" t="s">
        <v>25</v>
      </c>
      <c r="D11" s="13">
        <v>5.0</v>
      </c>
      <c r="E11" s="14">
        <v>10.0</v>
      </c>
      <c r="F11" s="15">
        <f t="shared" ref="F11:F16" si="3">D11*E11</f>
        <v>50</v>
      </c>
    </row>
    <row r="12">
      <c r="A12" s="16"/>
      <c r="B12" s="17" t="s">
        <v>26</v>
      </c>
      <c r="C12" s="18" t="s">
        <v>27</v>
      </c>
      <c r="D12" s="19">
        <v>5.0</v>
      </c>
      <c r="E12" s="14">
        <v>10.0</v>
      </c>
      <c r="F12" s="15">
        <f t="shared" si="3"/>
        <v>50</v>
      </c>
    </row>
    <row r="13">
      <c r="A13" s="10"/>
      <c r="B13" s="11" t="s">
        <v>28</v>
      </c>
      <c r="C13" s="12" t="s">
        <v>29</v>
      </c>
      <c r="D13" s="13">
        <v>5.0</v>
      </c>
      <c r="E13" s="14">
        <v>10.0</v>
      </c>
      <c r="F13" s="15">
        <f t="shared" si="3"/>
        <v>50</v>
      </c>
    </row>
    <row r="14">
      <c r="A14" s="16"/>
      <c r="B14" s="17" t="s">
        <v>30</v>
      </c>
      <c r="C14" s="18" t="s">
        <v>31</v>
      </c>
      <c r="D14" s="19">
        <v>5.0</v>
      </c>
      <c r="E14" s="14">
        <v>10.0</v>
      </c>
      <c r="F14" s="15">
        <f t="shared" si="3"/>
        <v>50</v>
      </c>
    </row>
    <row r="15">
      <c r="A15" s="10"/>
      <c r="B15" s="11" t="s">
        <v>32</v>
      </c>
      <c r="C15" s="12" t="s">
        <v>33</v>
      </c>
      <c r="D15" s="13">
        <v>5.0</v>
      </c>
      <c r="E15" s="14">
        <v>10.0</v>
      </c>
      <c r="F15" s="15">
        <f t="shared" si="3"/>
        <v>50</v>
      </c>
    </row>
    <row r="16">
      <c r="A16" s="16"/>
      <c r="B16" s="17" t="s">
        <v>34</v>
      </c>
      <c r="C16" s="18" t="s">
        <v>35</v>
      </c>
      <c r="D16" s="19">
        <v>5.0</v>
      </c>
      <c r="E16" s="14">
        <v>10.0</v>
      </c>
      <c r="F16" s="15">
        <f t="shared" si="3"/>
        <v>50</v>
      </c>
    </row>
    <row r="17">
      <c r="A17" s="24"/>
      <c r="B17" s="25"/>
      <c r="C17" s="26" t="s">
        <v>36</v>
      </c>
      <c r="D17" s="23"/>
      <c r="E17" s="23"/>
      <c r="F17" s="15">
        <f>SUM(F2:F16)</f>
        <v>1000</v>
      </c>
    </row>
  </sheetData>
  <dataValidations>
    <dataValidation type="custom" allowBlank="1" showDropDown="1" sqref="D2:D1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